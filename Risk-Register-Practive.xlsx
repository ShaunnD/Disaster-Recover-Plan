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ownloads\"/>
    </mc:Choice>
  </mc:AlternateContent>
  <xr:revisionPtr revIDLastSave="0" documentId="13_ncr:1_{2AB67909-A5DC-4840-8731-7DE64806A1D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imple Safety Risk Register" sheetId="1" r:id="rId1"/>
    <sheet name="Scale" sheetId="2" r:id="rId2"/>
  </sheets>
  <definedNames>
    <definedName name="_xlnm._FilterDatabase" localSheetId="0" hidden="1">'Simple Safety Risk Register'!$B$2:$I$39</definedName>
    <definedName name="_xlnm.Print_Area" localSheetId="1">Scale!#REF!</definedName>
    <definedName name="_xlnm.Print_Area" localSheetId="0">'Simple Safety Risk Register'!$B$1:$I$17</definedName>
    <definedName name="REASSESSMENT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G32" i="1"/>
  <c r="G33" i="1"/>
  <c r="G34" i="1"/>
  <c r="G35" i="1"/>
  <c r="G20" i="1"/>
  <c r="G21" i="1"/>
  <c r="G22" i="1"/>
  <c r="G23" i="1"/>
  <c r="G24" i="1"/>
  <c r="G25" i="1"/>
  <c r="G26" i="1"/>
  <c r="G27" i="1"/>
  <c r="G28" i="1"/>
  <c r="G29" i="1"/>
  <c r="G30" i="1"/>
  <c r="G10" i="1"/>
  <c r="G11" i="1"/>
  <c r="G12" i="1"/>
  <c r="G13" i="1"/>
  <c r="G14" i="1"/>
  <c r="G15" i="1"/>
  <c r="G16" i="1"/>
  <c r="G17" i="1"/>
  <c r="G18" i="1"/>
  <c r="G19" i="1"/>
  <c r="G7" i="1"/>
  <c r="G8" i="1"/>
  <c r="G9" i="1"/>
  <c r="G6" i="1"/>
  <c r="G5" i="1"/>
  <c r="G4" i="1"/>
  <c r="F4" i="1"/>
  <c r="F5" i="1"/>
  <c r="F33" i="1"/>
  <c r="F34" i="1"/>
  <c r="F35" i="1"/>
  <c r="F36" i="1"/>
  <c r="F37" i="1"/>
  <c r="F38" i="1"/>
  <c r="F39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<sst xmlns="http://schemas.openxmlformats.org/spreadsheetml/2006/main" count="150" uniqueCount="126">
  <si>
    <t>RISK DESCRIPTION</t>
  </si>
  <si>
    <t>IMPACT DESCRIPTION</t>
  </si>
  <si>
    <t>IMPACT 
LEVEL</t>
  </si>
  <si>
    <t>PROBABILITY LEVEL</t>
  </si>
  <si>
    <t>PRIORITY LEVEL</t>
  </si>
  <si>
    <t>MITIGATION NOTES</t>
  </si>
  <si>
    <t>OWNER</t>
  </si>
  <si>
    <t>KEY</t>
  </si>
  <si>
    <t>Give a brief summary of the risk.</t>
  </si>
  <si>
    <t>What will happen if the risk is not mitigated or eliminated?</t>
  </si>
  <si>
    <t>Rate 
1 (LOW) to 
5 (HIGH)</t>
  </si>
  <si>
    <t xml:space="preserve">(IMPACT X PROBABILITY)
Address the  highest first. </t>
  </si>
  <si>
    <t>What can be done to lower or eliminate the impact or probability?</t>
  </si>
  <si>
    <t>Who's responsible?</t>
  </si>
  <si>
    <t>LEVEL</t>
  </si>
  <si>
    <t>Risk Matrix</t>
  </si>
  <si>
    <t>P R O B A B I L I T Y</t>
  </si>
  <si>
    <t>I M P A C T</t>
  </si>
  <si>
    <t>Load Shedding</t>
  </si>
  <si>
    <t>UPS or generator failure</t>
  </si>
  <si>
    <t>Server hardware failure</t>
  </si>
  <si>
    <t>Cooling system failure</t>
  </si>
  <si>
    <t>Single internet connection</t>
  </si>
  <si>
    <t>Router or firewall failure</t>
  </si>
  <si>
    <t>Poor network segmentation</t>
  </si>
  <si>
    <t>Misconfigured network devices</t>
  </si>
  <si>
    <t>Ransomware attacks</t>
  </si>
  <si>
    <t>Weak passwords</t>
  </si>
  <si>
    <t>Unpatched software</t>
  </si>
  <si>
    <t>Phishing attacks</t>
  </si>
  <si>
    <t>Data corruption</t>
  </si>
  <si>
    <t>Insufficient backup procedures</t>
  </si>
  <si>
    <t>Cloud storage failure</t>
  </si>
  <si>
    <t>Accidental data deletion</t>
  </si>
  <si>
    <t>Compromised IoT Devices</t>
  </si>
  <si>
    <t>Firmware vulnerabilities</t>
  </si>
  <si>
    <t>Device connectivity loss</t>
  </si>
  <si>
    <t>Physical tampering</t>
  </si>
  <si>
    <t>Human Error</t>
  </si>
  <si>
    <t>Lack of cybersecurity training</t>
  </si>
  <si>
    <t>Poor access control</t>
  </si>
  <si>
    <t>Mental health breakdown</t>
  </si>
  <si>
    <t>Office break ins</t>
  </si>
  <si>
    <t>Fire</t>
  </si>
  <si>
    <t>Flooding or water damage</t>
  </si>
  <si>
    <t>Unauthorized access to server room</t>
  </si>
  <si>
    <t>Natural disasters</t>
  </si>
  <si>
    <t>Cloud provider outage</t>
  </si>
  <si>
    <t>Supply chain disruptions</t>
  </si>
  <si>
    <t>ISP outages</t>
  </si>
  <si>
    <t>Power failuers can shut down servers, networking equipment and office operations</t>
  </si>
  <si>
    <t>Backup power systems may fail during extender outages</t>
  </si>
  <si>
    <t>Hard drive crashes or server malfunction could cause systems downtime</t>
  </si>
  <si>
    <t>Server rooms overheating can damage hardware</t>
  </si>
  <si>
    <t>If the primary fibre connection fails, the business could lose connectivity</t>
  </si>
  <si>
    <t>A failed router or firewall could disconnect the entire company network</t>
  </si>
  <si>
    <t>If internal networks are not separated, an attack could spread easily</t>
  </si>
  <si>
    <t>Incorrect settings could expose internal systems to the internet</t>
  </si>
  <si>
    <t>Malware could encrypt company servers and customer data</t>
  </si>
  <si>
    <t>Employees may accidentally give away login credentials</t>
  </si>
  <si>
    <t>Outdates systems may contain exploitable security flaws</t>
  </si>
  <si>
    <t>Simple or reuses passwords increase the risk of unauthorized access</t>
  </si>
  <si>
    <t>Software bugs or system crashes could damage data</t>
  </si>
  <si>
    <t>Backups may be incomplete or outdated</t>
  </si>
  <si>
    <t>Cloud provider outages could prevent access to company data</t>
  </si>
  <si>
    <t>Employees could mistakenly delete important information</t>
  </si>
  <si>
    <t>Sensors may have weak security and be hacked</t>
  </si>
  <si>
    <t>Outdated firmware could containt security flaws</t>
  </si>
  <si>
    <t>IoT devices may lose connection to the central platform</t>
  </si>
  <si>
    <t>Devices in stores could be damaged or tampered with</t>
  </si>
  <si>
    <t>Employees may accidentally misconfigure systems</t>
  </si>
  <si>
    <t>Staff may not recognize phishing or social engineering attacks</t>
  </si>
  <si>
    <t>Too many employees may have administrative privileges</t>
  </si>
  <si>
    <t>Prolonged stress may result in decreased staff performance, increased operational errors, absenteeism, and disruption to business continuity.</t>
  </si>
  <si>
    <t>Theft of laptops or servers could compromise company data</t>
  </si>
  <si>
    <t>Fire could destroy servers, networking equipment and documents</t>
  </si>
  <si>
    <t>Water damage could destroy IT infrastructure</t>
  </si>
  <si>
    <t>If physical security is weak, anyone could access critical hardware</t>
  </si>
  <si>
    <t>Severe storms or flooding could disrupt operations</t>
  </si>
  <si>
    <t>A major cloud outage could affect the analytics platform</t>
  </si>
  <si>
    <t>Delays in hardware replacement could extend downtime</t>
  </si>
  <si>
    <t>Internet service provider issues could disconnect the company</t>
  </si>
  <si>
    <t>RISK LEVEL</t>
  </si>
  <si>
    <t>(IMPACT X PROBABILITY) Address the highest first</t>
  </si>
  <si>
    <t xml:space="preserve">	
Install UPS systems and backup generators to maintain power during outages.
</t>
  </si>
  <si>
    <t>Perform regular maintenance and testing of backup power systems.</t>
  </si>
  <si>
    <t>Use redundant servers and schedule regular hardware monitoring.</t>
  </si>
  <si>
    <t>Install temperature monitoring and backup cooling systems in server rooms.</t>
  </si>
  <si>
    <t>Implement a secondary ISP connection for redundancy.</t>
  </si>
  <si>
    <t>Deploy redundant networking equipment and maintain backup configurations.</t>
  </si>
  <si>
    <t>Segment networks using VLANs and access control policies.</t>
  </si>
  <si>
    <t>Perform regular configuration audits and security reviews.</t>
  </si>
  <si>
    <t>Implement endpoint protection and maintain secure offline backups.</t>
  </si>
  <si>
    <t>Enforce strong password policies and multi-factor authentication (MFA).</t>
  </si>
  <si>
    <t>Apply regular security updates and patch management procedures.</t>
  </si>
  <si>
    <t>Conduct employee cybersecurity awareness and phishing training.</t>
  </si>
  <si>
    <t>Implement automated data integrity checks and backups.</t>
  </si>
  <si>
    <t>Schedule frequent automated backups with offsite storage.</t>
  </si>
  <si>
    <t>Use multi-region cloud backups and redundancy.</t>
  </si>
  <si>
    <t>Implement role-based access controls and backup restoration procedures.</t>
  </si>
  <si>
    <t>Secure devices with strong authentication and network isolation.</t>
  </si>
  <si>
    <t>Regularly update device firmware and apply security patches.</t>
  </si>
  <si>
    <t>Implement network monitoring and automatic reconnection protocols.</t>
  </si>
  <si>
    <t>Install devices in secure enclosures and monitor device activity.</t>
  </si>
  <si>
    <t>Implement change management procedures and system monitoring.</t>
  </si>
  <si>
    <t>Provide regular employee security awareness training.</t>
  </si>
  <si>
    <t>Use role-based access control and least privilege policies.</t>
  </si>
  <si>
    <t>Provide employee wellness support and workload management programs.</t>
  </si>
  <si>
    <t>Install alarm systems, surveillance cameras, and access control.</t>
  </si>
  <si>
    <t>Install fire detection systems and fire suppression equipment.</t>
  </si>
  <si>
    <t>Store equipment above ground level and install water detection sensors.</t>
  </si>
  <si>
    <t>Implement keycard access control and surveillance monitoring.</t>
  </si>
  <si>
    <t>Maintain offsite backups and disaster recovery locations.</t>
  </si>
  <si>
    <t>Use multi-region cloud deployment and backup providers.</t>
  </si>
  <si>
    <t>Maintain spare hardware inventory and multiple suppliers.</t>
  </si>
  <si>
    <t>Use redundant internet connections from different providers.</t>
  </si>
  <si>
    <t>Priya Singh - Network &amp; Infrastructure Administrator</t>
  </si>
  <si>
    <t>Michael Jacobs - IoT Systems Engineer</t>
  </si>
  <si>
    <t>Kabelo Dlamini - Cybersecurity Specialist</t>
  </si>
  <si>
    <t>Lerato Mokoena - Chief Technology Officer</t>
  </si>
  <si>
    <t>Thandi Khumalo - Backend Developer</t>
  </si>
  <si>
    <t>Sipho Ndlovu - Technical Support Manager</t>
  </si>
  <si>
    <t>Natalie Ferreira - Finance &amp; HR Manager</t>
  </si>
  <si>
    <t>Daniel Naidoo - Chief Executive Officer</t>
  </si>
  <si>
    <t>Chris Botha - Sales &amp; Client Relations Manager</t>
  </si>
  <si>
    <t>SIMPLE SAFETY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</si>
</sst>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entury Gothic"/>
      <family val="1"/>
      <charset val="1"/>
    </font>
    <font>
      <b/>
      <sz val="20"/>
      <color rgb="FF595959"/>
      <name val="Century Gothic"/>
      <family val="1"/>
      <charset val="1"/>
    </font>
    <font>
      <b/>
      <sz val="9"/>
      <color rgb="FF00000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9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  <font>
      <b/>
      <sz val="12"/>
      <color rgb="FF000000"/>
      <name val="Century Gothic"/>
      <family val="1"/>
      <charset val="1"/>
    </font>
    <font>
      <sz val="18"/>
      <color rgb="FF595959"/>
      <name val="Century Gothic"/>
      <family val="1"/>
      <charset val="1"/>
    </font>
    <font>
      <b/>
      <sz val="14"/>
      <color rgb="FF000000"/>
      <name val="Century Gothic"/>
      <family val="1"/>
      <charset val="1"/>
    </font>
    <font>
      <sz val="16"/>
      <color rgb="FF000000"/>
      <name val="Century Gothic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7FA"/>
      </patternFill>
    </fill>
    <fill>
      <patternFill patternType="solid">
        <fgColor rgb="FFD6DCE5"/>
        <bgColor rgb="FFD9D9D9"/>
      </patternFill>
    </fill>
    <fill>
      <patternFill patternType="solid">
        <fgColor rgb="FFEAEEF3"/>
        <bgColor rgb="FFF2F2F2"/>
      </patternFill>
    </fill>
    <fill>
      <patternFill patternType="solid">
        <fgColor rgb="FFF2F2F2"/>
        <bgColor rgb="FFF5F7FA"/>
      </patternFill>
    </fill>
    <fill>
      <patternFill patternType="solid">
        <fgColor rgb="FFF5F7FA"/>
        <bgColor rgb="FFF2F2F2"/>
      </patternFill>
    </fill>
    <fill>
      <patternFill patternType="solid">
        <fgColor rgb="FFE5E5E5"/>
        <bgColor rgb="FFEAEEF3"/>
      </patternFill>
    </fill>
    <fill>
      <patternFill patternType="solid">
        <fgColor rgb="FFBCE65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6DCE5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hair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 indent="1"/>
    </xf>
    <xf numFmtId="0" fontId="2" fillId="6" borderId="8" xfId="0" applyFont="1" applyFill="1" applyBorder="1" applyAlignment="1">
      <alignment horizontal="left" vertical="center" wrapText="1" indent="1"/>
    </xf>
    <xf numFmtId="0" fontId="2" fillId="6" borderId="9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1" fillId="5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5" fillId="6" borderId="6" xfId="0" applyFont="1" applyFill="1" applyBorder="1" applyAlignment="1" applyProtection="1">
      <alignment horizontal="center" vertical="center" wrapText="1"/>
      <protection locked="0"/>
    </xf>
    <xf numFmtId="0" fontId="8" fillId="7" borderId="6" xfId="0" applyFont="1" applyFill="1" applyBorder="1" applyAlignment="1" applyProtection="1">
      <alignment horizontal="center" vertical="center" wrapText="1"/>
      <protection locked="0"/>
    </xf>
    <xf numFmtId="0" fontId="5" fillId="6" borderId="8" xfId="0" applyFont="1" applyFill="1" applyBorder="1" applyAlignment="1" applyProtection="1">
      <alignment horizontal="center" vertical="center" wrapText="1"/>
      <protection locked="0"/>
    </xf>
    <xf numFmtId="0" fontId="8" fillId="7" borderId="8" xfId="0" applyFont="1" applyFill="1" applyBorder="1" applyAlignment="1" applyProtection="1">
      <alignment horizontal="center" vertical="center" wrapText="1"/>
      <protection locked="0"/>
    </xf>
    <xf numFmtId="0" fontId="2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textRotation="90"/>
    </xf>
    <xf numFmtId="0" fontId="10" fillId="0" borderId="2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4"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7FA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5E5"/>
      <rgbColor rgb="FFFFFF99"/>
      <rgbColor rgb="FFADB9CA"/>
      <rgbColor rgb="FFFF99CC"/>
      <rgbColor rgb="FFCC99FF"/>
      <rgbColor rgb="FFD9D9D9"/>
      <rgbColor rgb="FF3366FF"/>
      <rgbColor rgb="FF33CCCC"/>
      <rgbColor rgb="FFBCE659"/>
      <rgbColor rgb="FFFFC000"/>
      <rgbColor rgb="FFFF9900"/>
      <rgbColor rgb="FFFF6600"/>
      <rgbColor rgb="FF59595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7B0"/>
    <pageSetUpPr fitToPage="1"/>
  </sheetPr>
  <dimension ref="B1:K39"/>
  <sheetViews>
    <sheetView showGridLines="0" tabSelected="1" topLeftCell="B1" zoomScaleNormal="100" workbookViewId="0">
      <pane ySplit="1" topLeftCell="A2" activePane="bottomLeft" state="frozen"/>
      <selection pane="bottomLeft" activeCell="B2" sqref="B2"/>
    </sheetView>
  </sheetViews>
  <sheetFormatPr defaultColWidth="11" defaultRowHeight="15.75" x14ac:dyDescent="0.25"/>
  <cols>
    <col min="1" max="1" width="3.375" customWidth="1"/>
    <col min="2" max="2" width="27.875" style="1" customWidth="1"/>
    <col min="3" max="3" width="46.875" style="2" customWidth="1"/>
    <col min="4" max="4" width="12.875" style="1" customWidth="1"/>
    <col min="5" max="5" width="12.875" style="3" customWidth="1"/>
    <col min="6" max="7" width="12.875" style="2" customWidth="1"/>
    <col min="8" max="8" width="29.875" style="3" customWidth="1"/>
    <col min="9" max="9" width="18.875" style="3" customWidth="1"/>
    <col min="10" max="10" width="3.375" customWidth="1"/>
    <col min="11" max="11" width="11.875" customWidth="1"/>
    <col min="12" max="12" width="3.375" customWidth="1"/>
  </cols>
  <sheetData>
    <row r="1" spans="2:11" s="4" customFormat="1" ht="42" customHeight="1" x14ac:dyDescent="0.25">
      <c r="B1" s="5" t="s">
        <v>125</v>
      </c>
      <c r="D1" s="6"/>
      <c r="E1" s="6"/>
      <c r="H1" s="6"/>
      <c r="I1" s="6"/>
    </row>
    <row r="2" spans="2:11" ht="50.1" customHeight="1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82</v>
      </c>
      <c r="H2" s="7" t="s">
        <v>5</v>
      </c>
      <c r="I2" s="8" t="s">
        <v>6</v>
      </c>
      <c r="K2" s="9" t="s">
        <v>7</v>
      </c>
    </row>
    <row r="3" spans="2:11" ht="60" customHeight="1" x14ac:dyDescent="0.3">
      <c r="B3" s="10" t="s">
        <v>8</v>
      </c>
      <c r="C3" s="10" t="s">
        <v>9</v>
      </c>
      <c r="D3" s="10" t="s">
        <v>10</v>
      </c>
      <c r="E3" s="10" t="s">
        <v>10</v>
      </c>
      <c r="F3" s="10" t="s">
        <v>11</v>
      </c>
      <c r="G3" s="10" t="s">
        <v>83</v>
      </c>
      <c r="H3" s="10" t="s">
        <v>12</v>
      </c>
      <c r="I3" s="11" t="s">
        <v>13</v>
      </c>
      <c r="K3" s="12" t="s">
        <v>14</v>
      </c>
    </row>
    <row r="4" spans="2:11" ht="45" customHeight="1" x14ac:dyDescent="0.25">
      <c r="B4" s="13" t="s">
        <v>18</v>
      </c>
      <c r="C4" s="13" t="s">
        <v>50</v>
      </c>
      <c r="D4" s="40">
        <v>4</v>
      </c>
      <c r="E4" s="40">
        <v>5</v>
      </c>
      <c r="F4" s="41">
        <f>IF(D4*E4=0,"",D4*E4)</f>
        <v>20</v>
      </c>
      <c r="G4" s="41" t="str">
        <f t="shared" ref="G4:G9" si="0">IF(AND(F4&gt;0,F4&lt;6),"Low",IF(AND(F4&gt;5,F4&lt;11),"Medium",IF(AND(F4&gt;10,F4&lt;16),"High",IF(F4&gt;15,"Critical"))))</f>
        <v>Critical</v>
      </c>
      <c r="H4" s="13" t="s">
        <v>84</v>
      </c>
      <c r="I4" s="47" t="s">
        <v>116</v>
      </c>
      <c r="K4" s="15">
        <v>1</v>
      </c>
    </row>
    <row r="5" spans="2:11" ht="45" customHeight="1" x14ac:dyDescent="0.25">
      <c r="B5" s="16" t="s">
        <v>19</v>
      </c>
      <c r="C5" s="16" t="s">
        <v>51</v>
      </c>
      <c r="D5" s="42">
        <v>4</v>
      </c>
      <c r="E5" s="42">
        <v>2</v>
      </c>
      <c r="F5" s="43">
        <f t="shared" ref="F5:F17" si="1">IF(D5*E5=0,"",D5*E5)</f>
        <v>8</v>
      </c>
      <c r="G5" s="41" t="str">
        <f t="shared" si="0"/>
        <v>Medium</v>
      </c>
      <c r="H5" s="16" t="s">
        <v>85</v>
      </c>
      <c r="I5" s="46" t="s">
        <v>116</v>
      </c>
      <c r="K5" s="15">
        <v>2</v>
      </c>
    </row>
    <row r="6" spans="2:11" ht="45" customHeight="1" x14ac:dyDescent="0.25">
      <c r="B6" s="13" t="s">
        <v>20</v>
      </c>
      <c r="C6" s="13" t="s">
        <v>52</v>
      </c>
      <c r="D6" s="40">
        <v>5</v>
      </c>
      <c r="E6" s="40">
        <v>3</v>
      </c>
      <c r="F6" s="41">
        <f t="shared" si="1"/>
        <v>15</v>
      </c>
      <c r="G6" s="41" t="str">
        <f t="shared" si="0"/>
        <v>High</v>
      </c>
      <c r="H6" s="13" t="s">
        <v>86</v>
      </c>
      <c r="I6" s="47" t="s">
        <v>116</v>
      </c>
      <c r="K6" s="15">
        <v>3</v>
      </c>
    </row>
    <row r="7" spans="2:11" ht="45" customHeight="1" x14ac:dyDescent="0.25">
      <c r="B7" s="16" t="s">
        <v>21</v>
      </c>
      <c r="C7" s="16" t="s">
        <v>53</v>
      </c>
      <c r="D7" s="42">
        <v>4</v>
      </c>
      <c r="E7" s="42">
        <v>2</v>
      </c>
      <c r="F7" s="43">
        <f t="shared" si="1"/>
        <v>8</v>
      </c>
      <c r="G7" s="41" t="str">
        <f t="shared" si="0"/>
        <v>Medium</v>
      </c>
      <c r="H7" s="16" t="s">
        <v>87</v>
      </c>
      <c r="I7" s="46" t="s">
        <v>117</v>
      </c>
      <c r="K7" s="15">
        <v>4</v>
      </c>
    </row>
    <row r="8" spans="2:11" ht="45" customHeight="1" x14ac:dyDescent="0.25">
      <c r="B8" s="13" t="s">
        <v>22</v>
      </c>
      <c r="C8" s="13" t="s">
        <v>54</v>
      </c>
      <c r="D8" s="40">
        <v>4</v>
      </c>
      <c r="E8" s="40">
        <v>4</v>
      </c>
      <c r="F8" s="41">
        <f t="shared" si="1"/>
        <v>16</v>
      </c>
      <c r="G8" s="41" t="str">
        <f t="shared" si="0"/>
        <v>Critical</v>
      </c>
      <c r="H8" s="13" t="s">
        <v>88</v>
      </c>
      <c r="I8" s="47" t="s">
        <v>116</v>
      </c>
      <c r="K8" s="15">
        <v>5</v>
      </c>
    </row>
    <row r="9" spans="2:11" ht="45" customHeight="1" x14ac:dyDescent="0.25">
      <c r="B9" s="16" t="s">
        <v>23</v>
      </c>
      <c r="C9" s="16" t="s">
        <v>55</v>
      </c>
      <c r="D9" s="42">
        <v>4</v>
      </c>
      <c r="E9" s="42">
        <v>3</v>
      </c>
      <c r="F9" s="43">
        <f t="shared" si="1"/>
        <v>12</v>
      </c>
      <c r="G9" s="41" t="str">
        <f t="shared" si="0"/>
        <v>High</v>
      </c>
      <c r="H9" s="16" t="s">
        <v>89</v>
      </c>
      <c r="I9" s="46" t="s">
        <v>116</v>
      </c>
    </row>
    <row r="10" spans="2:11" ht="45" customHeight="1" x14ac:dyDescent="0.25">
      <c r="B10" s="13" t="s">
        <v>24</v>
      </c>
      <c r="C10" s="13" t="s">
        <v>56</v>
      </c>
      <c r="D10" s="40">
        <v>4</v>
      </c>
      <c r="E10" s="40">
        <v>3</v>
      </c>
      <c r="F10" s="41">
        <f t="shared" si="1"/>
        <v>12</v>
      </c>
      <c r="G10" s="41" t="str">
        <f t="shared" ref="G10:G19" si="2">IF(AND(F10&gt;0,F10&lt;6),"Low",IF(AND(F10&gt;5,F10&lt;11),"Medium",IF(AND(F10&gt;10,F10&lt;16),"High",IF(F10&gt;15,"Critical"))))</f>
        <v>High</v>
      </c>
      <c r="H10" s="13" t="s">
        <v>90</v>
      </c>
      <c r="I10" s="47" t="s">
        <v>118</v>
      </c>
    </row>
    <row r="11" spans="2:11" ht="45" customHeight="1" x14ac:dyDescent="0.25">
      <c r="B11" s="16" t="s">
        <v>25</v>
      </c>
      <c r="C11" s="16" t="s">
        <v>57</v>
      </c>
      <c r="D11" s="42">
        <v>3</v>
      </c>
      <c r="E11" s="42">
        <v>3</v>
      </c>
      <c r="F11" s="43">
        <f t="shared" si="1"/>
        <v>9</v>
      </c>
      <c r="G11" s="41" t="str">
        <f t="shared" si="2"/>
        <v>Medium</v>
      </c>
      <c r="H11" s="16" t="s">
        <v>91</v>
      </c>
      <c r="I11" s="46" t="s">
        <v>116</v>
      </c>
    </row>
    <row r="12" spans="2:11" ht="45" customHeight="1" x14ac:dyDescent="0.25">
      <c r="B12" s="13" t="s">
        <v>26</v>
      </c>
      <c r="C12" s="13" t="s">
        <v>58</v>
      </c>
      <c r="D12" s="40">
        <v>5</v>
      </c>
      <c r="E12" s="40">
        <v>3</v>
      </c>
      <c r="F12" s="41">
        <f t="shared" si="1"/>
        <v>15</v>
      </c>
      <c r="G12" s="41" t="str">
        <f t="shared" si="2"/>
        <v>High</v>
      </c>
      <c r="H12" s="13" t="s">
        <v>92</v>
      </c>
      <c r="I12" s="47" t="s">
        <v>118</v>
      </c>
    </row>
    <row r="13" spans="2:11" ht="45" customHeight="1" x14ac:dyDescent="0.25">
      <c r="B13" s="16" t="s">
        <v>27</v>
      </c>
      <c r="C13" s="16" t="s">
        <v>61</v>
      </c>
      <c r="D13" s="42">
        <v>4</v>
      </c>
      <c r="E13" s="42">
        <v>4</v>
      </c>
      <c r="F13" s="43">
        <f t="shared" si="1"/>
        <v>16</v>
      </c>
      <c r="G13" s="41" t="str">
        <f t="shared" si="2"/>
        <v>Critical</v>
      </c>
      <c r="H13" s="16" t="s">
        <v>93</v>
      </c>
      <c r="I13" s="46" t="s">
        <v>118</v>
      </c>
    </row>
    <row r="14" spans="2:11" ht="45" customHeight="1" x14ac:dyDescent="0.25">
      <c r="B14" s="13" t="s">
        <v>28</v>
      </c>
      <c r="C14" s="13" t="s">
        <v>60</v>
      </c>
      <c r="D14" s="40">
        <v>4</v>
      </c>
      <c r="E14" s="40">
        <v>4</v>
      </c>
      <c r="F14" s="41">
        <f t="shared" si="1"/>
        <v>16</v>
      </c>
      <c r="G14" s="41" t="str">
        <f t="shared" si="2"/>
        <v>Critical</v>
      </c>
      <c r="H14" s="13" t="s">
        <v>94</v>
      </c>
      <c r="I14" s="47" t="s">
        <v>119</v>
      </c>
    </row>
    <row r="15" spans="2:11" ht="45" customHeight="1" x14ac:dyDescent="0.25">
      <c r="B15" s="16" t="s">
        <v>29</v>
      </c>
      <c r="C15" s="16" t="s">
        <v>59</v>
      </c>
      <c r="D15" s="42">
        <v>3</v>
      </c>
      <c r="E15" s="42">
        <v>4</v>
      </c>
      <c r="F15" s="43">
        <f t="shared" si="1"/>
        <v>12</v>
      </c>
      <c r="G15" s="41" t="str">
        <f t="shared" si="2"/>
        <v>High</v>
      </c>
      <c r="H15" s="16" t="s">
        <v>95</v>
      </c>
      <c r="I15" s="46" t="s">
        <v>118</v>
      </c>
    </row>
    <row r="16" spans="2:11" ht="45" customHeight="1" x14ac:dyDescent="0.25">
      <c r="B16" s="13" t="s">
        <v>30</v>
      </c>
      <c r="C16" s="13" t="s">
        <v>62</v>
      </c>
      <c r="D16" s="40">
        <v>4</v>
      </c>
      <c r="E16" s="40">
        <v>3</v>
      </c>
      <c r="F16" s="41">
        <f t="shared" si="1"/>
        <v>12</v>
      </c>
      <c r="G16" s="41" t="str">
        <f t="shared" si="2"/>
        <v>High</v>
      </c>
      <c r="H16" s="13" t="s">
        <v>96</v>
      </c>
      <c r="I16" s="47" t="s">
        <v>120</v>
      </c>
    </row>
    <row r="17" spans="2:9" ht="45" customHeight="1" thickBot="1" x14ac:dyDescent="0.3">
      <c r="B17" s="17" t="s">
        <v>31</v>
      </c>
      <c r="C17" s="17" t="s">
        <v>63</v>
      </c>
      <c r="D17" s="44">
        <v>5</v>
      </c>
      <c r="E17" s="44">
        <v>2</v>
      </c>
      <c r="F17" s="45">
        <f t="shared" si="1"/>
        <v>10</v>
      </c>
      <c r="G17" s="41" t="str">
        <f t="shared" si="2"/>
        <v>Medium</v>
      </c>
      <c r="H17" s="17" t="s">
        <v>97</v>
      </c>
      <c r="I17" s="48" t="s">
        <v>116</v>
      </c>
    </row>
    <row r="18" spans="2:9" ht="45" customHeight="1" x14ac:dyDescent="0.25">
      <c r="B18" s="13" t="s">
        <v>32</v>
      </c>
      <c r="C18" s="13" t="s">
        <v>64</v>
      </c>
      <c r="D18" s="40">
        <v>4</v>
      </c>
      <c r="E18" s="40">
        <v>2</v>
      </c>
      <c r="F18" s="41">
        <f t="shared" ref="F18:F34" si="3">IF(D18*E18=0,"",D18*E18)</f>
        <v>8</v>
      </c>
      <c r="G18" s="41" t="str">
        <f t="shared" si="2"/>
        <v>Medium</v>
      </c>
      <c r="H18" s="13" t="s">
        <v>98</v>
      </c>
      <c r="I18" s="47" t="s">
        <v>119</v>
      </c>
    </row>
    <row r="19" spans="2:9" ht="45" customHeight="1" thickBot="1" x14ac:dyDescent="0.3">
      <c r="B19" s="17" t="s">
        <v>33</v>
      </c>
      <c r="C19" s="17" t="s">
        <v>65</v>
      </c>
      <c r="D19" s="44">
        <v>3</v>
      </c>
      <c r="E19" s="44">
        <v>3</v>
      </c>
      <c r="F19" s="45">
        <f t="shared" si="3"/>
        <v>9</v>
      </c>
      <c r="G19" s="41" t="str">
        <f t="shared" si="2"/>
        <v>Medium</v>
      </c>
      <c r="H19" s="17" t="s">
        <v>99</v>
      </c>
      <c r="I19" s="48" t="s">
        <v>121</v>
      </c>
    </row>
    <row r="20" spans="2:9" ht="45" customHeight="1" x14ac:dyDescent="0.25">
      <c r="B20" s="13" t="s">
        <v>34</v>
      </c>
      <c r="C20" s="13" t="s">
        <v>66</v>
      </c>
      <c r="D20" s="40">
        <v>4</v>
      </c>
      <c r="E20" s="40">
        <v>3</v>
      </c>
      <c r="F20" s="41">
        <f t="shared" si="3"/>
        <v>12</v>
      </c>
      <c r="G20" s="41" t="str">
        <f t="shared" ref="G20:G25" si="4">IF(AND(F20&gt;0,F20&lt;6),"Low",IF(AND(F20&gt;5,F20&lt;11),"Medium",IF(AND(F20&gt;10,F20&lt;16),"High",IF(F20&gt;15,"Critical"))))</f>
        <v>High</v>
      </c>
      <c r="H20" s="13" t="s">
        <v>100</v>
      </c>
      <c r="I20" s="47" t="s">
        <v>117</v>
      </c>
    </row>
    <row r="21" spans="2:9" ht="45" customHeight="1" thickBot="1" x14ac:dyDescent="0.3">
      <c r="B21" s="17" t="s">
        <v>35</v>
      </c>
      <c r="C21" s="17" t="s">
        <v>67</v>
      </c>
      <c r="D21" s="44">
        <v>3</v>
      </c>
      <c r="E21" s="44">
        <v>3</v>
      </c>
      <c r="F21" s="45">
        <f t="shared" si="3"/>
        <v>9</v>
      </c>
      <c r="G21" s="41" t="str">
        <f t="shared" si="4"/>
        <v>Medium</v>
      </c>
      <c r="H21" s="17" t="s">
        <v>101</v>
      </c>
      <c r="I21" s="48" t="s">
        <v>117</v>
      </c>
    </row>
    <row r="22" spans="2:9" ht="45" customHeight="1" x14ac:dyDescent="0.25">
      <c r="B22" s="13" t="s">
        <v>36</v>
      </c>
      <c r="C22" s="13" t="s">
        <v>68</v>
      </c>
      <c r="D22" s="40">
        <v>3</v>
      </c>
      <c r="E22" s="40">
        <v>3</v>
      </c>
      <c r="F22" s="41">
        <f t="shared" si="3"/>
        <v>9</v>
      </c>
      <c r="G22" s="41" t="str">
        <f t="shared" si="4"/>
        <v>Medium</v>
      </c>
      <c r="H22" s="13" t="s">
        <v>102</v>
      </c>
      <c r="I22" s="47" t="s">
        <v>117</v>
      </c>
    </row>
    <row r="23" spans="2:9" ht="45" customHeight="1" thickBot="1" x14ac:dyDescent="0.3">
      <c r="B23" s="17" t="s">
        <v>37</v>
      </c>
      <c r="C23" s="17" t="s">
        <v>69</v>
      </c>
      <c r="D23" s="44">
        <v>3</v>
      </c>
      <c r="E23" s="44">
        <v>2</v>
      </c>
      <c r="F23" s="45">
        <f t="shared" si="3"/>
        <v>6</v>
      </c>
      <c r="G23" s="41" t="str">
        <f t="shared" si="4"/>
        <v>Medium</v>
      </c>
      <c r="H23" s="17" t="s">
        <v>103</v>
      </c>
      <c r="I23" s="48" t="s">
        <v>121</v>
      </c>
    </row>
    <row r="24" spans="2:9" ht="45" customHeight="1" x14ac:dyDescent="0.25">
      <c r="B24" s="13" t="s">
        <v>38</v>
      </c>
      <c r="C24" s="13" t="s">
        <v>70</v>
      </c>
      <c r="D24" s="40">
        <v>3</v>
      </c>
      <c r="E24" s="40">
        <v>4</v>
      </c>
      <c r="F24" s="41">
        <f t="shared" si="3"/>
        <v>12</v>
      </c>
      <c r="G24" s="41" t="str">
        <f t="shared" si="4"/>
        <v>High</v>
      </c>
      <c r="H24" s="13" t="s">
        <v>104</v>
      </c>
      <c r="I24" s="47" t="s">
        <v>122</v>
      </c>
    </row>
    <row r="25" spans="2:9" ht="45" customHeight="1" thickBot="1" x14ac:dyDescent="0.3">
      <c r="B25" s="17" t="s">
        <v>39</v>
      </c>
      <c r="C25" s="17" t="s">
        <v>71</v>
      </c>
      <c r="D25" s="44">
        <v>3</v>
      </c>
      <c r="E25" s="44">
        <v>4</v>
      </c>
      <c r="F25" s="45">
        <f t="shared" si="3"/>
        <v>12</v>
      </c>
      <c r="G25" s="41" t="str">
        <f t="shared" si="4"/>
        <v>High</v>
      </c>
      <c r="H25" s="17" t="s">
        <v>105</v>
      </c>
      <c r="I25" s="48" t="s">
        <v>118</v>
      </c>
    </row>
    <row r="26" spans="2:9" ht="45" customHeight="1" x14ac:dyDescent="0.25">
      <c r="B26" s="13" t="s">
        <v>40</v>
      </c>
      <c r="C26" s="13" t="s">
        <v>72</v>
      </c>
      <c r="D26" s="40">
        <v>4</v>
      </c>
      <c r="E26" s="40">
        <v>3</v>
      </c>
      <c r="F26" s="41">
        <f t="shared" si="3"/>
        <v>12</v>
      </c>
      <c r="G26" s="41" t="str">
        <f t="shared" ref="G26:G30" si="5">IF(AND(F26&gt;0,F26&lt;6),"Low",IF(AND(F26&gt;5,F26&lt;11),"Medium",IF(AND(F26&gt;10,F26&lt;16),"High",IF(F26&gt;15,"Critical"))))</f>
        <v>High</v>
      </c>
      <c r="H26" s="13" t="s">
        <v>106</v>
      </c>
      <c r="I26" s="47" t="s">
        <v>118</v>
      </c>
    </row>
    <row r="27" spans="2:9" ht="45" customHeight="1" thickBot="1" x14ac:dyDescent="0.3">
      <c r="B27" s="17" t="s">
        <v>41</v>
      </c>
      <c r="C27" s="17" t="s">
        <v>73</v>
      </c>
      <c r="D27" s="44">
        <v>3</v>
      </c>
      <c r="E27" s="44">
        <v>2</v>
      </c>
      <c r="F27" s="45">
        <f t="shared" si="3"/>
        <v>6</v>
      </c>
      <c r="G27" s="41" t="str">
        <f t="shared" si="5"/>
        <v>Medium</v>
      </c>
      <c r="H27" s="17" t="s">
        <v>107</v>
      </c>
      <c r="I27" s="48" t="s">
        <v>122</v>
      </c>
    </row>
    <row r="28" spans="2:9" ht="45" customHeight="1" x14ac:dyDescent="0.25">
      <c r="B28" s="13" t="s">
        <v>42</v>
      </c>
      <c r="C28" s="13" t="s">
        <v>74</v>
      </c>
      <c r="D28" s="40">
        <v>4</v>
      </c>
      <c r="E28" s="40">
        <v>2</v>
      </c>
      <c r="F28" s="41">
        <f t="shared" si="3"/>
        <v>8</v>
      </c>
      <c r="G28" s="41" t="str">
        <f t="shared" si="5"/>
        <v>Medium</v>
      </c>
      <c r="H28" s="13" t="s">
        <v>108</v>
      </c>
      <c r="I28" s="47" t="s">
        <v>123</v>
      </c>
    </row>
    <row r="29" spans="2:9" ht="45" customHeight="1" thickBot="1" x14ac:dyDescent="0.3">
      <c r="B29" s="17" t="s">
        <v>43</v>
      </c>
      <c r="C29" s="17" t="s">
        <v>75</v>
      </c>
      <c r="D29" s="44">
        <v>5</v>
      </c>
      <c r="E29" s="44">
        <v>1</v>
      </c>
      <c r="F29" s="45">
        <f t="shared" si="3"/>
        <v>5</v>
      </c>
      <c r="G29" s="41" t="str">
        <f t="shared" si="5"/>
        <v>Low</v>
      </c>
      <c r="H29" s="17" t="s">
        <v>109</v>
      </c>
      <c r="I29" s="48" t="s">
        <v>123</v>
      </c>
    </row>
    <row r="30" spans="2:9" ht="45" customHeight="1" x14ac:dyDescent="0.25">
      <c r="B30" s="13" t="s">
        <v>44</v>
      </c>
      <c r="C30" s="13" t="s">
        <v>76</v>
      </c>
      <c r="D30" s="40">
        <v>4</v>
      </c>
      <c r="E30" s="40">
        <v>1</v>
      </c>
      <c r="F30" s="41">
        <f t="shared" si="3"/>
        <v>4</v>
      </c>
      <c r="G30" s="41" t="str">
        <f t="shared" si="5"/>
        <v>Low</v>
      </c>
      <c r="H30" s="13" t="s">
        <v>110</v>
      </c>
      <c r="I30" s="47" t="s">
        <v>123</v>
      </c>
    </row>
    <row r="31" spans="2:9" ht="45" customHeight="1" thickBot="1" x14ac:dyDescent="0.3">
      <c r="B31" s="17" t="s">
        <v>45</v>
      </c>
      <c r="C31" s="17" t="s">
        <v>77</v>
      </c>
      <c r="D31" s="44">
        <v>5</v>
      </c>
      <c r="E31" s="44">
        <v>2</v>
      </c>
      <c r="F31" s="45">
        <f t="shared" si="3"/>
        <v>10</v>
      </c>
      <c r="G31" s="41" t="str">
        <f>IF(AND(F31&gt;0,F31&lt;6),"Low",IF(AND(F31&gt;5,F31&lt;11),"Medium",IF(AND(F31&gt;10,F31&lt;16),"High",IF(F31&gt;15,"Critical"))))</f>
        <v>Medium</v>
      </c>
      <c r="H31" s="17" t="s">
        <v>111</v>
      </c>
      <c r="I31" s="48" t="s">
        <v>116</v>
      </c>
    </row>
    <row r="32" spans="2:9" ht="45" customHeight="1" x14ac:dyDescent="0.25">
      <c r="B32" s="13" t="s">
        <v>46</v>
      </c>
      <c r="C32" s="13" t="s">
        <v>78</v>
      </c>
      <c r="D32" s="40">
        <v>5</v>
      </c>
      <c r="E32" s="40">
        <v>1</v>
      </c>
      <c r="F32" s="41">
        <f t="shared" si="3"/>
        <v>5</v>
      </c>
      <c r="G32" s="41" t="str">
        <f>IF(AND(F32&gt;0,F32&lt;6),"Low",IF(AND(F32&gt;5,F32&lt;11),"Medium",IF(AND(F32&gt;10,F32&lt;16),"High",IF(F32&gt;15,"Critical"))))</f>
        <v>Low</v>
      </c>
      <c r="H32" s="13" t="s">
        <v>112</v>
      </c>
      <c r="I32" s="47" t="s">
        <v>123</v>
      </c>
    </row>
    <row r="33" spans="2:9" ht="45" customHeight="1" x14ac:dyDescent="0.25">
      <c r="B33" s="13" t="s">
        <v>47</v>
      </c>
      <c r="C33" s="13" t="s">
        <v>79</v>
      </c>
      <c r="D33" s="40">
        <v>4</v>
      </c>
      <c r="E33" s="40">
        <v>2</v>
      </c>
      <c r="F33" s="41">
        <f t="shared" si="3"/>
        <v>8</v>
      </c>
      <c r="G33" s="41" t="str">
        <f>IF(AND(F33&gt;0,F33&lt;6),"Low",IF(AND(F33&gt;5,F33&lt;11),"Medium",IF(AND(F33&gt;10,F33&lt;16),"High",IF(F33&gt;15,"Critical"))))</f>
        <v>Medium</v>
      </c>
      <c r="H33" s="13" t="s">
        <v>113</v>
      </c>
      <c r="I33" s="47" t="s">
        <v>119</v>
      </c>
    </row>
    <row r="34" spans="2:9" ht="45" customHeight="1" thickBot="1" x14ac:dyDescent="0.3">
      <c r="B34" s="17" t="s">
        <v>48</v>
      </c>
      <c r="C34" s="17" t="s">
        <v>80</v>
      </c>
      <c r="D34" s="44">
        <v>3</v>
      </c>
      <c r="E34" s="44">
        <v>2</v>
      </c>
      <c r="F34" s="45">
        <f t="shared" si="3"/>
        <v>6</v>
      </c>
      <c r="G34" s="41" t="str">
        <f>IF(AND(F34&gt;0,F34&lt;6),"Low",IF(AND(F34&gt;5,F34&lt;11),"Medium",IF(AND(F34&gt;10,F34&lt;16),"High",IF(F34&gt;15,"Critical"))))</f>
        <v>Medium</v>
      </c>
      <c r="H34" s="17" t="s">
        <v>114</v>
      </c>
      <c r="I34" s="48" t="s">
        <v>124</v>
      </c>
    </row>
    <row r="35" spans="2:9" ht="45" customHeight="1" x14ac:dyDescent="0.25">
      <c r="B35" s="13" t="s">
        <v>49</v>
      </c>
      <c r="C35" s="13" t="s">
        <v>81</v>
      </c>
      <c r="D35" s="40">
        <v>4</v>
      </c>
      <c r="E35" s="40">
        <v>3</v>
      </c>
      <c r="F35" s="41">
        <f t="shared" ref="F35:F39" si="6">IF(D35*E35=0,"",D35*E35)</f>
        <v>12</v>
      </c>
      <c r="G35" s="41" t="str">
        <f>IF(AND(F35&gt;0,F35&lt;6),"Low",IF(AND(F35&gt;5,F35&lt;11),"Medium",IF(AND(F35&gt;10,F35&lt;16),"High",IF(F35&gt;15,"Critical"))))</f>
        <v>High</v>
      </c>
      <c r="H35" s="13" t="s">
        <v>115</v>
      </c>
      <c r="I35" s="47" t="s">
        <v>116</v>
      </c>
    </row>
    <row r="36" spans="2:9" ht="45" customHeight="1" thickBot="1" x14ac:dyDescent="0.3">
      <c r="B36" s="17"/>
      <c r="C36" s="17"/>
      <c r="D36" s="44"/>
      <c r="E36" s="44"/>
      <c r="F36" s="45" t="str">
        <f t="shared" si="6"/>
        <v/>
      </c>
      <c r="G36" s="45"/>
      <c r="H36" s="17"/>
      <c r="I36" s="18"/>
    </row>
    <row r="37" spans="2:9" ht="45" customHeight="1" x14ac:dyDescent="0.25">
      <c r="B37" s="13"/>
      <c r="C37" s="13"/>
      <c r="D37" s="40"/>
      <c r="E37" s="40"/>
      <c r="F37" s="41" t="str">
        <f t="shared" si="6"/>
        <v/>
      </c>
      <c r="G37" s="41"/>
      <c r="H37" s="13"/>
      <c r="I37" s="14"/>
    </row>
    <row r="38" spans="2:9" ht="45" customHeight="1" thickBot="1" x14ac:dyDescent="0.3">
      <c r="B38" s="17"/>
      <c r="C38" s="17"/>
      <c r="D38" s="44"/>
      <c r="E38" s="44"/>
      <c r="F38" s="45" t="str">
        <f t="shared" si="6"/>
        <v/>
      </c>
      <c r="G38" s="45"/>
      <c r="H38" s="17"/>
      <c r="I38" s="18"/>
    </row>
    <row r="39" spans="2:9" ht="45" customHeight="1" x14ac:dyDescent="0.25">
      <c r="B39" s="13"/>
      <c r="C39" s="13"/>
      <c r="D39" s="40"/>
      <c r="E39" s="40"/>
      <c r="F39" s="41" t="str">
        <f t="shared" si="6"/>
        <v/>
      </c>
      <c r="G39" s="41"/>
      <c r="H39" s="13"/>
      <c r="I39" s="14"/>
    </row>
  </sheetData>
  <conditionalFormatting sqref="F4:G39">
    <cfRule type="cellIs" dxfId="3" priority="2" operator="equal">
      <formula>25</formula>
    </cfRule>
    <cfRule type="cellIs" dxfId="2" priority="3" operator="between">
      <formula>15</formula>
      <formula>20</formula>
    </cfRule>
    <cfRule type="cellIs" dxfId="1" priority="4" operator="between">
      <formula>6</formula>
      <formula>12</formula>
    </cfRule>
    <cfRule type="cellIs" dxfId="0" priority="5" operator="between">
      <formula>1</formula>
      <formula>5</formula>
    </cfRule>
  </conditionalFormatting>
  <dataValidations count="1">
    <dataValidation type="whole" allowBlank="1" showInputMessage="1" showErrorMessage="1" sqref="D4:E39" xr:uid="{00000000-0002-0000-0000-000000000000}">
      <formula1>1</formula1>
      <formula2>5</formula2>
    </dataValidation>
  </dataValidations>
  <pageMargins left="0.4" right="0.4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DB9CA"/>
    <pageSetUpPr fitToPage="1"/>
  </sheetPr>
  <dimension ref="B1:H13"/>
  <sheetViews>
    <sheetView showGridLines="0" zoomScaleNormal="100" workbookViewId="0">
      <selection activeCell="B2" sqref="B2"/>
    </sheetView>
  </sheetViews>
  <sheetFormatPr defaultColWidth="11" defaultRowHeight="15.75" x14ac:dyDescent="0.25"/>
  <cols>
    <col min="1" max="1" width="3.375" customWidth="1"/>
    <col min="2" max="2" width="5.875" customWidth="1"/>
    <col min="3" max="8" width="7.5" customWidth="1"/>
  </cols>
  <sheetData>
    <row r="1" spans="2:8" s="4" customFormat="1" ht="42" customHeight="1" x14ac:dyDescent="0.25">
      <c r="B1" s="19" t="s">
        <v>15</v>
      </c>
    </row>
    <row r="2" spans="2:8" ht="45" customHeight="1" x14ac:dyDescent="0.25">
      <c r="B2" s="49" t="s">
        <v>16</v>
      </c>
      <c r="C2" s="20">
        <v>5</v>
      </c>
      <c r="D2" s="21">
        <v>5</v>
      </c>
      <c r="E2" s="22">
        <v>10</v>
      </c>
      <c r="F2" s="23">
        <v>15</v>
      </c>
      <c r="G2" s="23">
        <v>20</v>
      </c>
      <c r="H2" s="24">
        <v>25</v>
      </c>
    </row>
    <row r="3" spans="2:8" ht="45" customHeight="1" x14ac:dyDescent="0.25">
      <c r="B3" s="49"/>
      <c r="C3" s="25">
        <v>4</v>
      </c>
      <c r="D3" s="26">
        <v>4</v>
      </c>
      <c r="E3" s="27">
        <v>8</v>
      </c>
      <c r="F3" s="27">
        <v>12</v>
      </c>
      <c r="G3" s="28">
        <v>16</v>
      </c>
      <c r="H3" s="29">
        <v>20</v>
      </c>
    </row>
    <row r="4" spans="2:8" ht="45" customHeight="1" x14ac:dyDescent="0.25">
      <c r="B4" s="49"/>
      <c r="C4" s="25">
        <v>3</v>
      </c>
      <c r="D4" s="26">
        <v>3</v>
      </c>
      <c r="E4" s="27">
        <v>6</v>
      </c>
      <c r="F4" s="27">
        <v>9</v>
      </c>
      <c r="G4" s="27">
        <v>12</v>
      </c>
      <c r="H4" s="29">
        <v>15</v>
      </c>
    </row>
    <row r="5" spans="2:8" ht="45" customHeight="1" x14ac:dyDescent="0.25">
      <c r="B5" s="49"/>
      <c r="C5" s="25">
        <v>2</v>
      </c>
      <c r="D5" s="26">
        <v>2</v>
      </c>
      <c r="E5" s="30">
        <v>4</v>
      </c>
      <c r="F5" s="27">
        <v>6</v>
      </c>
      <c r="G5" s="27">
        <v>8</v>
      </c>
      <c r="H5" s="31">
        <v>10</v>
      </c>
    </row>
    <row r="6" spans="2:8" ht="45" customHeight="1" x14ac:dyDescent="0.25">
      <c r="B6" s="49"/>
      <c r="C6" s="32">
        <v>1</v>
      </c>
      <c r="D6" s="33">
        <v>1</v>
      </c>
      <c r="E6" s="34">
        <v>2</v>
      </c>
      <c r="F6" s="34">
        <v>3</v>
      </c>
      <c r="G6" s="34">
        <v>4</v>
      </c>
      <c r="H6" s="35">
        <v>5</v>
      </c>
    </row>
    <row r="7" spans="2:8" ht="45" customHeight="1" x14ac:dyDescent="0.25">
      <c r="C7" s="36"/>
      <c r="D7" s="37">
        <v>1</v>
      </c>
      <c r="E7" s="38">
        <v>2</v>
      </c>
      <c r="F7" s="38">
        <v>3</v>
      </c>
      <c r="G7" s="38">
        <v>4</v>
      </c>
      <c r="H7" s="39">
        <v>5</v>
      </c>
    </row>
    <row r="8" spans="2:8" ht="30.95" customHeight="1" x14ac:dyDescent="0.25">
      <c r="D8" s="50" t="s">
        <v>17</v>
      </c>
      <c r="E8" s="50"/>
      <c r="F8" s="50"/>
      <c r="G8" s="50"/>
      <c r="H8" s="50"/>
    </row>
    <row r="9" spans="2:8" ht="45" customHeight="1" x14ac:dyDescent="0.25"/>
    <row r="10" spans="2:8" ht="45" customHeight="1" x14ac:dyDescent="0.25"/>
    <row r="11" spans="2:8" ht="45" customHeight="1" x14ac:dyDescent="0.25"/>
    <row r="13" spans="2:8" ht="50.1" customHeight="1" x14ac:dyDescent="0.25"/>
  </sheetData>
  <mergeCells count="2">
    <mergeCell ref="B2:B6"/>
    <mergeCell ref="D8:H8"/>
  </mergeCells>
  <pageMargins left="0.4" right="0.4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Simple Safety Risk Register</vt:lpstr>
      <vt:lpstr>Scale</vt:lpstr>
      <vt:lpstr>'Simple Safety Risk Register'!Print_Area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Shaunn Dry</cp:lastModifiedBy>
  <cp:revision>1</cp:revision>
  <dcterms:created xsi:type="dcterms:W3CDTF">2015-10-16T18:32:25Z</dcterms:created>
  <dcterms:modified xsi:type="dcterms:W3CDTF">2026-03-10T14:28:50Z</dcterms:modified>
  <dc:language>en-GB</dc:language>
</cp:coreProperties>
</file>