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un\Downloads\"/>
    </mc:Choice>
  </mc:AlternateContent>
  <xr:revisionPtr revIDLastSave="0" documentId="8_{0D386CF8-2270-4A36-B298-7C4945DB92FE}" xr6:coauthVersionLast="47" xr6:coauthVersionMax="47" xr10:uidLastSave="{00000000-0000-0000-0000-000000000000}"/>
  <bookViews>
    <workbookView xWindow="-28920" yWindow="-120" windowWidth="29040" windowHeight="15720" xr2:uid="{8B92B1CD-DDD5-4913-A4E7-4EE356744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15" i="1"/>
  <c r="I7" i="1"/>
  <c r="I6" i="1"/>
  <c r="I5" i="1"/>
  <c r="E39" i="1"/>
  <c r="E17" i="1"/>
  <c r="E29" i="1"/>
</calcChain>
</file>

<file path=xl/sharedStrings.xml><?xml version="1.0" encoding="utf-8"?>
<sst xmlns="http://schemas.openxmlformats.org/spreadsheetml/2006/main" count="69" uniqueCount="68">
  <si>
    <t>Company Name:</t>
  </si>
  <si>
    <t>Nimbus Retil Technologies (PTY) Ltd</t>
  </si>
  <si>
    <t>Staff Name:</t>
  </si>
  <si>
    <t>Position:</t>
  </si>
  <si>
    <t>Monthly Salary:</t>
  </si>
  <si>
    <t>Daniel Naidoo</t>
  </si>
  <si>
    <t>Chief Executive Officer (CEO)</t>
  </si>
  <si>
    <t>Lerato Mokoena</t>
  </si>
  <si>
    <t>Chief Technology Officer (CTO)</t>
  </si>
  <si>
    <t>Jason van der Merwe</t>
  </si>
  <si>
    <t>Senior Software Developer</t>
  </si>
  <si>
    <t>Thandi Khumalo</t>
  </si>
  <si>
    <t>Backend Developer</t>
  </si>
  <si>
    <t>Michael Jacobs</t>
  </si>
  <si>
    <t>IoT Systems Engineer</t>
  </si>
  <si>
    <t>Priya Singh</t>
  </si>
  <si>
    <t>Network &amp; Infrastructure Administrator</t>
  </si>
  <si>
    <t>Kabelo Dlamini</t>
  </si>
  <si>
    <t>Cybersecurity Specialist</t>
  </si>
  <si>
    <t>Amber Ross</t>
  </si>
  <si>
    <t>UI/UX Designer</t>
  </si>
  <si>
    <t>Sipho Ndlovu</t>
  </si>
  <si>
    <t>Technical Support Manager</t>
  </si>
  <si>
    <t>Natalie Ferreira</t>
  </si>
  <si>
    <t>Finance &amp; HR Manager</t>
  </si>
  <si>
    <t>Chris Botha</t>
  </si>
  <si>
    <t>Sales &amp; Client Relations Manager</t>
  </si>
  <si>
    <t>Ayanda Sithole</t>
  </si>
  <si>
    <t>Administrative Assistant</t>
  </si>
  <si>
    <t>Initial Set Up Costs:</t>
  </si>
  <si>
    <t>Servers and backup systems</t>
  </si>
  <si>
    <t>Employee laptops and development machines</t>
  </si>
  <si>
    <t>Software licenses and development tools</t>
  </si>
  <si>
    <t>IoT sensor prototypes and testing hardware</t>
  </si>
  <si>
    <t>Company registration, legal fees, insurance</t>
  </si>
  <si>
    <t>Initial marketing and website development</t>
  </si>
  <si>
    <t>Item</t>
  </si>
  <si>
    <t>Item:</t>
  </si>
  <si>
    <t>Cost:</t>
  </si>
  <si>
    <t>Total Initial Setup Cost:</t>
  </si>
  <si>
    <t>Total Monthly Salaries:</t>
  </si>
  <si>
    <t>Additional Monthly Operating Costs:</t>
  </si>
  <si>
    <t>Staff Wages:</t>
  </si>
  <si>
    <t>Expense:</t>
  </si>
  <si>
    <t>Monthly Cost:</t>
  </si>
  <si>
    <t>Office Rent</t>
  </si>
  <si>
    <t>Internet (Business Fibre + Backup Lines)</t>
  </si>
  <si>
    <t>Cloud Hosting Services</t>
  </si>
  <si>
    <t>Software Subscriptions</t>
  </si>
  <si>
    <t>Insurance</t>
  </si>
  <si>
    <t>Utilities</t>
  </si>
  <si>
    <t>Total Operating Costs (excluding salaries):</t>
  </si>
  <si>
    <t>Total Monthly Cost:</t>
  </si>
  <si>
    <t>Cost</t>
  </si>
  <si>
    <t>Payroll:</t>
  </si>
  <si>
    <t>Operations:</t>
  </si>
  <si>
    <t>Total Operating Costs:</t>
  </si>
  <si>
    <t>Industry:</t>
  </si>
  <si>
    <t>Location:</t>
  </si>
  <si>
    <t>Employees:</t>
  </si>
  <si>
    <t>Initial Startup Cost:</t>
  </si>
  <si>
    <t>Monthly Operating Cost:</t>
  </si>
  <si>
    <t>Company:</t>
  </si>
  <si>
    <t>Retail IoT &amp; Analytical Solutions</t>
  </si>
  <si>
    <t>Rivonia, Johannesburg</t>
  </si>
  <si>
    <t>Office Furniture and workstations</t>
  </si>
  <si>
    <t>Networking equipment (Routers, Switches, Firewalls)</t>
  </si>
  <si>
    <t>Company Snapshots: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</si>
</sst>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&quot;#,##0.00;[Red]\-&quot;R&quot;#,##0.00"/>
    <numFmt numFmtId="168" formatCode="&quot;R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8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8" fontId="0" fillId="0" borderId="6" xfId="0" applyNumberFormat="1" applyBorder="1" applyAlignment="1">
      <alignment horizontal="center" vertical="center" wrapText="1"/>
    </xf>
    <xf numFmtId="168" fontId="0" fillId="0" borderId="0" xfId="0" applyNumberFormat="1" applyAlignment="1"/>
    <xf numFmtId="168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8" fontId="0" fillId="0" borderId="6" xfId="0" applyNumberFormat="1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8" fontId="0" fillId="0" borderId="15" xfId="0" applyNumberFormat="1" applyBorder="1" applyAlignment="1">
      <alignment horizontal="center" vertical="center" wrapText="1"/>
    </xf>
    <xf numFmtId="8" fontId="0" fillId="0" borderId="16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8" fontId="0" fillId="0" borderId="11" xfId="0" applyNumberFormat="1" applyBorder="1" applyAlignment="1">
      <alignment horizontal="center" vertical="center" wrapText="1"/>
    </xf>
    <xf numFmtId="8" fontId="0" fillId="0" borderId="12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68" fontId="0" fillId="0" borderId="15" xfId="0" applyNumberFormat="1" applyBorder="1" applyAlignment="1">
      <alignment horizontal="center"/>
    </xf>
    <xf numFmtId="168" fontId="0" fillId="0" borderId="16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8" fontId="0" fillId="0" borderId="11" xfId="0" applyNumberFormat="1" applyBorder="1" applyAlignment="1">
      <alignment horizontal="center"/>
    </xf>
    <xf numFmtId="168" fontId="0" fillId="0" borderId="12" xfId="0" applyNumberFormat="1" applyBorder="1" applyAlignment="1">
      <alignment horizontal="center"/>
    </xf>
    <xf numFmtId="8" fontId="1" fillId="0" borderId="18" xfId="0" applyNumberFormat="1" applyFont="1" applyBorder="1" applyAlignment="1">
      <alignment horizontal="center" vertical="center" wrapText="1"/>
    </xf>
    <xf numFmtId="8" fontId="1" fillId="0" borderId="19" xfId="0" applyNumberFormat="1" applyFont="1" applyBorder="1" applyAlignment="1">
      <alignment horizontal="center" vertical="center" wrapText="1"/>
    </xf>
    <xf numFmtId="168" fontId="1" fillId="0" borderId="18" xfId="0" applyNumberFormat="1" applyFont="1" applyBorder="1" applyAlignment="1">
      <alignment horizontal="center"/>
    </xf>
    <xf numFmtId="168" fontId="1" fillId="0" borderId="19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/>
    <xf numFmtId="168" fontId="0" fillId="0" borderId="12" xfId="0" applyNumberFormat="1" applyBorder="1"/>
    <xf numFmtId="0" fontId="0" fillId="0" borderId="14" xfId="0" applyBorder="1"/>
    <xf numFmtId="0" fontId="1" fillId="0" borderId="17" xfId="0" applyFont="1" applyBorder="1"/>
    <xf numFmtId="0" fontId="1" fillId="0" borderId="17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168" fontId="0" fillId="0" borderId="16" xfId="0" applyNumberFormat="1" applyBorder="1"/>
    <xf numFmtId="168" fontId="1" fillId="0" borderId="19" xfId="0" applyNumberFormat="1" applyFont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8" fontId="1" fillId="0" borderId="1" xfId="0" applyNumberFormat="1" applyFont="1" applyBorder="1" applyAlignment="1">
      <alignment horizontal="center"/>
    </xf>
    <xf numFmtId="0" fontId="1" fillId="0" borderId="7" xfId="0" applyFont="1" applyBorder="1"/>
    <xf numFmtId="168" fontId="1" fillId="0" borderId="8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73CCA-EF66-4A15-8217-0B51CDBEDEE7}">
  <dimension ref="A1:J39"/>
  <sheetViews>
    <sheetView tabSelected="1" workbookViewId="0">
      <selection activeCell="H11" sqref="H11"/>
    </sheetView>
  </sheetViews>
  <sheetFormatPr defaultRowHeight="15" x14ac:dyDescent="0.25"/>
  <cols>
    <col min="1" max="6" width="27.5703125" customWidth="1"/>
    <col min="7" max="7" width="9.140625" customWidth="1"/>
    <col min="8" max="9" width="27.5703125" customWidth="1"/>
  </cols>
  <sheetData>
    <row r="1" spans="1:10" x14ac:dyDescent="0.25">
      <c r="A1" s="38" t="s">
        <v>0</v>
      </c>
      <c r="B1" s="38"/>
      <c r="C1" s="38" t="s">
        <v>1</v>
      </c>
      <c r="D1" s="38"/>
      <c r="E1" s="38"/>
      <c r="F1" s="38"/>
    </row>
    <row r="2" spans="1:10" ht="15" customHeight="1" x14ac:dyDescent="0.25">
      <c r="A2" s="3"/>
      <c r="B2" s="3"/>
      <c r="C2" s="3"/>
      <c r="D2" s="3"/>
      <c r="E2" s="3"/>
      <c r="F2" s="3"/>
    </row>
    <row r="3" spans="1:10" ht="15" customHeight="1" thickBot="1" x14ac:dyDescent="0.3">
      <c r="A3" s="39" t="s">
        <v>42</v>
      </c>
      <c r="B3" s="39"/>
      <c r="C3" s="39"/>
      <c r="D3" s="39"/>
      <c r="E3" s="3"/>
      <c r="F3" s="3"/>
      <c r="H3" t="s">
        <v>52</v>
      </c>
    </row>
    <row r="4" spans="1:10" ht="15.75" thickBot="1" x14ac:dyDescent="0.3">
      <c r="A4" s="33" t="s">
        <v>2</v>
      </c>
      <c r="B4" s="34"/>
      <c r="C4" s="34" t="s">
        <v>3</v>
      </c>
      <c r="D4" s="34"/>
      <c r="E4" s="34" t="s">
        <v>4</v>
      </c>
      <c r="F4" s="37"/>
      <c r="H4" s="44" t="s">
        <v>36</v>
      </c>
      <c r="I4" s="45" t="s">
        <v>53</v>
      </c>
    </row>
    <row r="5" spans="1:10" ht="15" customHeight="1" x14ac:dyDescent="0.25">
      <c r="A5" s="13" t="s">
        <v>5</v>
      </c>
      <c r="B5" s="14"/>
      <c r="C5" s="14" t="s">
        <v>6</v>
      </c>
      <c r="D5" s="14"/>
      <c r="E5" s="15">
        <v>95000</v>
      </c>
      <c r="F5" s="16"/>
      <c r="H5" s="42" t="s">
        <v>54</v>
      </c>
      <c r="I5" s="46">
        <f>E17</f>
        <v>655000</v>
      </c>
    </row>
    <row r="6" spans="1:10" ht="15" customHeight="1" thickBot="1" x14ac:dyDescent="0.3">
      <c r="A6" s="7" t="s">
        <v>7</v>
      </c>
      <c r="B6" s="5"/>
      <c r="C6" s="5" t="s">
        <v>8</v>
      </c>
      <c r="D6" s="5"/>
      <c r="E6" s="6">
        <v>85000</v>
      </c>
      <c r="F6" s="8"/>
      <c r="H6" s="40" t="s">
        <v>55</v>
      </c>
      <c r="I6" s="41">
        <f>E39</f>
        <v>180000</v>
      </c>
    </row>
    <row r="7" spans="1:10" ht="15" customHeight="1" thickBot="1" x14ac:dyDescent="0.3">
      <c r="A7" s="7" t="s">
        <v>9</v>
      </c>
      <c r="B7" s="5"/>
      <c r="C7" s="5" t="s">
        <v>10</v>
      </c>
      <c r="D7" s="5"/>
      <c r="E7" s="6">
        <v>65000</v>
      </c>
      <c r="F7" s="8"/>
      <c r="H7" s="43" t="s">
        <v>56</v>
      </c>
      <c r="I7" s="47">
        <f>SUM(I5:I6)</f>
        <v>835000</v>
      </c>
    </row>
    <row r="8" spans="1:10" ht="15" customHeight="1" x14ac:dyDescent="0.25">
      <c r="A8" s="7" t="s">
        <v>11</v>
      </c>
      <c r="B8" s="5"/>
      <c r="C8" s="5" t="s">
        <v>12</v>
      </c>
      <c r="D8" s="5"/>
      <c r="E8" s="6">
        <v>52000</v>
      </c>
      <c r="F8" s="8"/>
    </row>
    <row r="9" spans="1:10" ht="15" customHeight="1" x14ac:dyDescent="0.25">
      <c r="A9" s="7" t="s">
        <v>13</v>
      </c>
      <c r="B9" s="5"/>
      <c r="C9" s="5" t="s">
        <v>14</v>
      </c>
      <c r="D9" s="5"/>
      <c r="E9" s="6">
        <v>58000</v>
      </c>
      <c r="F9" s="8"/>
    </row>
    <row r="10" spans="1:10" ht="15" customHeight="1" thickBot="1" x14ac:dyDescent="0.3">
      <c r="A10" s="7" t="s">
        <v>15</v>
      </c>
      <c r="B10" s="5"/>
      <c r="C10" s="5" t="s">
        <v>16</v>
      </c>
      <c r="D10" s="5"/>
      <c r="E10" s="6">
        <v>48000</v>
      </c>
      <c r="F10" s="8"/>
      <c r="H10" t="s">
        <v>67</v>
      </c>
      <c r="I10" s="1"/>
      <c r="J10" s="1"/>
    </row>
    <row r="11" spans="1:10" ht="15" customHeight="1" x14ac:dyDescent="0.25">
      <c r="A11" s="7" t="s">
        <v>17</v>
      </c>
      <c r="B11" s="5"/>
      <c r="C11" s="5" t="s">
        <v>18</v>
      </c>
      <c r="D11" s="5"/>
      <c r="E11" s="6">
        <v>55000</v>
      </c>
      <c r="F11" s="8"/>
      <c r="H11" s="48" t="s">
        <v>62</v>
      </c>
      <c r="I11" s="49" t="s">
        <v>1</v>
      </c>
      <c r="J11" s="50"/>
    </row>
    <row r="12" spans="1:10" ht="15" customHeight="1" x14ac:dyDescent="0.25">
      <c r="A12" s="7" t="s">
        <v>19</v>
      </c>
      <c r="B12" s="5"/>
      <c r="C12" s="5" t="s">
        <v>20</v>
      </c>
      <c r="D12" s="5"/>
      <c r="E12" s="6">
        <v>42000</v>
      </c>
      <c r="F12" s="8"/>
      <c r="H12" s="51" t="s">
        <v>57</v>
      </c>
      <c r="I12" s="52" t="s">
        <v>63</v>
      </c>
      <c r="J12" s="53"/>
    </row>
    <row r="13" spans="1:10" ht="15" customHeight="1" x14ac:dyDescent="0.25">
      <c r="A13" s="7" t="s">
        <v>21</v>
      </c>
      <c r="B13" s="5"/>
      <c r="C13" s="5" t="s">
        <v>22</v>
      </c>
      <c r="D13" s="5"/>
      <c r="E13" s="6">
        <v>38000</v>
      </c>
      <c r="F13" s="8"/>
      <c r="H13" s="51" t="s">
        <v>58</v>
      </c>
      <c r="I13" s="52" t="s">
        <v>64</v>
      </c>
      <c r="J13" s="53"/>
    </row>
    <row r="14" spans="1:10" ht="15" customHeight="1" x14ac:dyDescent="0.25">
      <c r="A14" s="7" t="s">
        <v>23</v>
      </c>
      <c r="B14" s="5"/>
      <c r="C14" s="5" t="s">
        <v>24</v>
      </c>
      <c r="D14" s="5"/>
      <c r="E14" s="6">
        <v>45000</v>
      </c>
      <c r="F14" s="8"/>
      <c r="H14" s="51" t="s">
        <v>59</v>
      </c>
      <c r="I14" s="52">
        <v>12</v>
      </c>
      <c r="J14" s="53"/>
    </row>
    <row r="15" spans="1:10" ht="15" customHeight="1" x14ac:dyDescent="0.25">
      <c r="A15" s="7" t="s">
        <v>25</v>
      </c>
      <c r="B15" s="5"/>
      <c r="C15" s="5" t="s">
        <v>26</v>
      </c>
      <c r="D15" s="5"/>
      <c r="E15" s="6">
        <v>50000</v>
      </c>
      <c r="F15" s="8"/>
      <c r="H15" s="51" t="s">
        <v>60</v>
      </c>
      <c r="I15" s="54">
        <f>E29</f>
        <v>1790000</v>
      </c>
      <c r="J15" s="53"/>
    </row>
    <row r="16" spans="1:10" ht="15" customHeight="1" thickBot="1" x14ac:dyDescent="0.3">
      <c r="A16" s="17" t="s">
        <v>27</v>
      </c>
      <c r="B16" s="18"/>
      <c r="C16" s="18" t="s">
        <v>28</v>
      </c>
      <c r="D16" s="18"/>
      <c r="E16" s="19">
        <v>22000</v>
      </c>
      <c r="F16" s="20"/>
      <c r="H16" s="55" t="s">
        <v>61</v>
      </c>
      <c r="I16" s="56">
        <f>I7</f>
        <v>835000</v>
      </c>
      <c r="J16" s="57"/>
    </row>
    <row r="17" spans="1:8" ht="15" customHeight="1" thickBot="1" x14ac:dyDescent="0.3">
      <c r="A17" s="35" t="s">
        <v>40</v>
      </c>
      <c r="B17" s="36"/>
      <c r="C17" s="36"/>
      <c r="D17" s="36"/>
      <c r="E17" s="29">
        <f>SUM(E5:F16)</f>
        <v>655000</v>
      </c>
      <c r="F17" s="30"/>
    </row>
    <row r="18" spans="1:8" x14ac:dyDescent="0.25">
      <c r="A18" s="1"/>
      <c r="B18" s="1"/>
      <c r="C18" s="1"/>
      <c r="D18" s="1"/>
      <c r="E18" s="1"/>
      <c r="F18" s="1"/>
    </row>
    <row r="19" spans="1:8" ht="15.75" thickBot="1" x14ac:dyDescent="0.3">
      <c r="A19" s="1" t="s">
        <v>29</v>
      </c>
      <c r="B19" s="1"/>
      <c r="C19" s="1"/>
      <c r="D19" s="1"/>
      <c r="E19" s="1"/>
      <c r="F19" s="1"/>
    </row>
    <row r="20" spans="1:8" ht="15.75" thickBot="1" x14ac:dyDescent="0.3">
      <c r="A20" s="33" t="s">
        <v>37</v>
      </c>
      <c r="B20" s="34"/>
      <c r="C20" s="34"/>
      <c r="D20" s="34"/>
      <c r="E20" s="34" t="s">
        <v>38</v>
      </c>
      <c r="F20" s="37"/>
      <c r="G20" s="2"/>
      <c r="H20" s="2"/>
    </row>
    <row r="21" spans="1:8" x14ac:dyDescent="0.25">
      <c r="A21" s="21" t="s">
        <v>65</v>
      </c>
      <c r="B21" s="22"/>
      <c r="C21" s="22"/>
      <c r="D21" s="22"/>
      <c r="E21" s="23">
        <v>350000</v>
      </c>
      <c r="F21" s="24"/>
      <c r="G21" s="9"/>
      <c r="H21" s="9"/>
    </row>
    <row r="22" spans="1:8" x14ac:dyDescent="0.25">
      <c r="A22" s="11" t="s">
        <v>66</v>
      </c>
      <c r="B22" s="4"/>
      <c r="C22" s="4"/>
      <c r="D22" s="4"/>
      <c r="E22" s="10">
        <v>180000</v>
      </c>
      <c r="F22" s="12"/>
      <c r="G22" s="9"/>
      <c r="H22" s="9"/>
    </row>
    <row r="23" spans="1:8" x14ac:dyDescent="0.25">
      <c r="A23" s="11" t="s">
        <v>30</v>
      </c>
      <c r="B23" s="4"/>
      <c r="C23" s="4"/>
      <c r="D23" s="4"/>
      <c r="E23" s="10">
        <v>420000</v>
      </c>
      <c r="F23" s="12"/>
      <c r="G23" s="9"/>
      <c r="H23" s="9"/>
    </row>
    <row r="24" spans="1:8" x14ac:dyDescent="0.25">
      <c r="A24" s="11" t="s">
        <v>31</v>
      </c>
      <c r="B24" s="4"/>
      <c r="C24" s="4"/>
      <c r="D24" s="4"/>
      <c r="E24" s="10">
        <v>300000</v>
      </c>
      <c r="F24" s="12"/>
      <c r="G24" s="9"/>
      <c r="H24" s="9"/>
    </row>
    <row r="25" spans="1:8" x14ac:dyDescent="0.25">
      <c r="A25" s="11" t="s">
        <v>32</v>
      </c>
      <c r="B25" s="4"/>
      <c r="C25" s="4"/>
      <c r="D25" s="4"/>
      <c r="E25" s="10">
        <v>120000</v>
      </c>
      <c r="F25" s="12"/>
      <c r="G25" s="9"/>
      <c r="H25" s="9"/>
    </row>
    <row r="26" spans="1:8" x14ac:dyDescent="0.25">
      <c r="A26" s="11" t="s">
        <v>33</v>
      </c>
      <c r="B26" s="4"/>
      <c r="C26" s="4"/>
      <c r="D26" s="4"/>
      <c r="E26" s="10">
        <v>250000</v>
      </c>
      <c r="F26" s="12"/>
      <c r="G26" s="9"/>
      <c r="H26" s="9"/>
    </row>
    <row r="27" spans="1:8" x14ac:dyDescent="0.25">
      <c r="A27" s="11" t="s">
        <v>34</v>
      </c>
      <c r="B27" s="4"/>
      <c r="C27" s="4"/>
      <c r="D27" s="4"/>
      <c r="E27" s="10">
        <v>80000</v>
      </c>
      <c r="F27" s="12"/>
      <c r="G27" s="9"/>
      <c r="H27" s="9"/>
    </row>
    <row r="28" spans="1:8" ht="15.75" thickBot="1" x14ac:dyDescent="0.3">
      <c r="A28" s="25" t="s">
        <v>35</v>
      </c>
      <c r="B28" s="26"/>
      <c r="C28" s="26"/>
      <c r="D28" s="26"/>
      <c r="E28" s="27">
        <v>90000</v>
      </c>
      <c r="F28" s="28"/>
      <c r="G28" s="9"/>
      <c r="H28" s="9"/>
    </row>
    <row r="29" spans="1:8" ht="15.75" thickBot="1" x14ac:dyDescent="0.3">
      <c r="A29" s="33" t="s">
        <v>39</v>
      </c>
      <c r="B29" s="34"/>
      <c r="C29" s="34"/>
      <c r="D29" s="34"/>
      <c r="E29" s="31">
        <f>SUM(E21:H28)</f>
        <v>1790000</v>
      </c>
      <c r="F29" s="32"/>
      <c r="G29" s="2"/>
      <c r="H29" s="2"/>
    </row>
    <row r="30" spans="1:8" x14ac:dyDescent="0.25">
      <c r="A30" s="1"/>
      <c r="B30" s="1"/>
      <c r="C30" s="1"/>
      <c r="D30" s="1"/>
      <c r="E30" s="1"/>
      <c r="F30" s="1"/>
    </row>
    <row r="31" spans="1:8" ht="15.75" thickBot="1" x14ac:dyDescent="0.3">
      <c r="A31" s="1" t="s">
        <v>41</v>
      </c>
      <c r="B31" s="1"/>
      <c r="C31" s="1"/>
      <c r="D31" s="1"/>
      <c r="E31" s="1"/>
      <c r="F31" s="1"/>
    </row>
    <row r="32" spans="1:8" ht="15.75" thickBot="1" x14ac:dyDescent="0.3">
      <c r="A32" s="33" t="s">
        <v>43</v>
      </c>
      <c r="B32" s="34"/>
      <c r="C32" s="34"/>
      <c r="D32" s="34"/>
      <c r="E32" s="34" t="s">
        <v>44</v>
      </c>
      <c r="F32" s="37"/>
    </row>
    <row r="33" spans="1:6" x14ac:dyDescent="0.25">
      <c r="A33" s="21" t="s">
        <v>45</v>
      </c>
      <c r="B33" s="22"/>
      <c r="C33" s="22"/>
      <c r="D33" s="22"/>
      <c r="E33" s="23">
        <v>95000</v>
      </c>
      <c r="F33" s="24"/>
    </row>
    <row r="34" spans="1:6" x14ac:dyDescent="0.25">
      <c r="A34" s="11" t="s">
        <v>46</v>
      </c>
      <c r="B34" s="4"/>
      <c r="C34" s="4"/>
      <c r="D34" s="4"/>
      <c r="E34" s="10">
        <v>8000</v>
      </c>
      <c r="F34" s="12"/>
    </row>
    <row r="35" spans="1:6" x14ac:dyDescent="0.25">
      <c r="A35" s="11" t="s">
        <v>47</v>
      </c>
      <c r="B35" s="4"/>
      <c r="C35" s="4"/>
      <c r="D35" s="4"/>
      <c r="E35" s="10">
        <v>40000</v>
      </c>
      <c r="F35" s="12"/>
    </row>
    <row r="36" spans="1:6" x14ac:dyDescent="0.25">
      <c r="A36" s="11" t="s">
        <v>48</v>
      </c>
      <c r="B36" s="4"/>
      <c r="C36" s="4"/>
      <c r="D36" s="4"/>
      <c r="E36" s="10">
        <v>15000</v>
      </c>
      <c r="F36" s="12"/>
    </row>
    <row r="37" spans="1:6" x14ac:dyDescent="0.25">
      <c r="A37" s="11" t="s">
        <v>49</v>
      </c>
      <c r="B37" s="4"/>
      <c r="C37" s="4"/>
      <c r="D37" s="4"/>
      <c r="E37" s="10">
        <v>12000</v>
      </c>
      <c r="F37" s="12"/>
    </row>
    <row r="38" spans="1:6" ht="15.75" thickBot="1" x14ac:dyDescent="0.3">
      <c r="A38" s="25" t="s">
        <v>50</v>
      </c>
      <c r="B38" s="26"/>
      <c r="C38" s="26"/>
      <c r="D38" s="26"/>
      <c r="E38" s="27">
        <v>10000</v>
      </c>
      <c r="F38" s="28"/>
    </row>
    <row r="39" spans="1:6" ht="15.75" thickBot="1" x14ac:dyDescent="0.3">
      <c r="A39" s="33" t="s">
        <v>51</v>
      </c>
      <c r="B39" s="34"/>
      <c r="C39" s="34"/>
      <c r="D39" s="34"/>
      <c r="E39" s="31">
        <f>SUM(E33:F38)</f>
        <v>180000</v>
      </c>
      <c r="F39" s="37"/>
    </row>
  </sheetData>
  <mergeCells count="96">
    <mergeCell ref="A39:D39"/>
    <mergeCell ref="E39:F39"/>
    <mergeCell ref="I10:J10"/>
    <mergeCell ref="I16:J16"/>
    <mergeCell ref="I15:J15"/>
    <mergeCell ref="I14:J14"/>
    <mergeCell ref="I13:J13"/>
    <mergeCell ref="I12:J12"/>
    <mergeCell ref="I11:J11"/>
    <mergeCell ref="A3:D3"/>
    <mergeCell ref="E32:F32"/>
    <mergeCell ref="A38:D38"/>
    <mergeCell ref="A37:D37"/>
    <mergeCell ref="E38:F38"/>
    <mergeCell ref="E37:F37"/>
    <mergeCell ref="E36:F36"/>
    <mergeCell ref="E35:F35"/>
    <mergeCell ref="E34:F34"/>
    <mergeCell ref="E33:F33"/>
    <mergeCell ref="A31:D31"/>
    <mergeCell ref="A32:D32"/>
    <mergeCell ref="A33:D33"/>
    <mergeCell ref="A34:D34"/>
    <mergeCell ref="A35:D35"/>
    <mergeCell ref="A36:D36"/>
    <mergeCell ref="E31:F31"/>
    <mergeCell ref="A5:B5"/>
    <mergeCell ref="C5:D5"/>
    <mergeCell ref="E5:F5"/>
    <mergeCell ref="A20:D20"/>
    <mergeCell ref="A21:D21"/>
    <mergeCell ref="E28:F28"/>
    <mergeCell ref="E30:F30"/>
    <mergeCell ref="A29:D29"/>
    <mergeCell ref="A30:D30"/>
    <mergeCell ref="E29:F29"/>
    <mergeCell ref="E26:F26"/>
    <mergeCell ref="E27:F27"/>
    <mergeCell ref="A27:D27"/>
    <mergeCell ref="A28:D28"/>
    <mergeCell ref="E24:F24"/>
    <mergeCell ref="E25:F25"/>
    <mergeCell ref="A25:D25"/>
    <mergeCell ref="A26:D26"/>
    <mergeCell ref="E22:F22"/>
    <mergeCell ref="E23:F23"/>
    <mergeCell ref="A23:D23"/>
    <mergeCell ref="A24:D24"/>
    <mergeCell ref="E20:F20"/>
    <mergeCell ref="E21:F21"/>
    <mergeCell ref="A22:D22"/>
    <mergeCell ref="E19:F19"/>
    <mergeCell ref="A19:D19"/>
    <mergeCell ref="A16:B16"/>
    <mergeCell ref="C16:D16"/>
    <mergeCell ref="E16:F16"/>
    <mergeCell ref="A18:B18"/>
    <mergeCell ref="C18:D18"/>
    <mergeCell ref="E18:F18"/>
    <mergeCell ref="E17:F17"/>
    <mergeCell ref="A17:D17"/>
    <mergeCell ref="A14:B14"/>
    <mergeCell ref="C14:D14"/>
    <mergeCell ref="E14:F14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10:B10"/>
    <mergeCell ref="C10:D10"/>
    <mergeCell ref="E10:F10"/>
    <mergeCell ref="A11:B11"/>
    <mergeCell ref="C11:D11"/>
    <mergeCell ref="E11:F11"/>
    <mergeCell ref="A8:B8"/>
    <mergeCell ref="C8:D8"/>
    <mergeCell ref="E8:F8"/>
    <mergeCell ref="A9:B9"/>
    <mergeCell ref="C9:D9"/>
    <mergeCell ref="E9:F9"/>
    <mergeCell ref="A6:B6"/>
    <mergeCell ref="C6:D6"/>
    <mergeCell ref="E6:F6"/>
    <mergeCell ref="A7:B7"/>
    <mergeCell ref="C7:D7"/>
    <mergeCell ref="E7:F7"/>
    <mergeCell ref="A1:B1"/>
    <mergeCell ref="C1:F1"/>
    <mergeCell ref="A4:B4"/>
    <mergeCell ref="C4:D4"/>
    <mergeCell ref="E4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Shaunn Dry</dc:creator>
  <cp:lastModifiedBy>Shaunn Dry</cp:lastModifiedBy>
  <dcterms:created xsi:type="dcterms:W3CDTF">2026-03-10T08:01:39Z</dcterms:created>
  <dcterms:modified xsi:type="dcterms:W3CDTF">2026-03-10T14:25:03Z</dcterms:modified>
</cp:coreProperties>
</file>